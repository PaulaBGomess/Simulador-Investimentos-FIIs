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ula.gomes\Downloads\"/>
    </mc:Choice>
  </mc:AlternateContent>
  <xr:revisionPtr revIDLastSave="0" documentId="13_ncr:1_{ECF40075-4F0B-4B55-ACCB-9CCBE7251F5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imulador" sheetId="1" r:id="rId1"/>
    <sheet name="Perfis" sheetId="2" r:id="rId2"/>
    <sheet name="Cenarios" sheetId="3" r:id="rId3"/>
    <sheet name="Guia" sheetId="4" r:id="rId4"/>
  </sheets>
  <definedNames>
    <definedName name="AporteMensal">Simulador!$B$5</definedName>
    <definedName name="PatrimonioInicial">Simulador!$B$4</definedName>
    <definedName name="PerfilInvestidor">Simulador!$B$9</definedName>
    <definedName name="PrazoAnos">Simulador!$B$8</definedName>
    <definedName name="TabelaPerfis">Perfis!$A$5:$E$7</definedName>
    <definedName name="TaxaDividendos">Simulador!$B$7</definedName>
    <definedName name="TaxaMensal">Simulador!$B$6</definedName>
  </definedNames>
  <calcPr calcId="191029"/>
</workbook>
</file>

<file path=xl/calcChain.xml><?xml version="1.0" encoding="utf-8"?>
<calcChain xmlns="http://schemas.openxmlformats.org/spreadsheetml/2006/main">
  <c r="B8" i="3" l="1"/>
  <c r="C8" i="3"/>
  <c r="E8" i="3"/>
  <c r="B9" i="3"/>
  <c r="C9" i="3"/>
  <c r="D9" i="3" s="1"/>
  <c r="E9" i="3"/>
  <c r="B10" i="3"/>
  <c r="C10" i="3"/>
  <c r="E10" i="3" s="1"/>
  <c r="B11" i="3"/>
  <c r="C11" i="3"/>
  <c r="D11" i="3" s="1"/>
  <c r="B12" i="3"/>
  <c r="C12" i="3"/>
  <c r="E12" i="3"/>
  <c r="B13" i="3"/>
  <c r="C13" i="3"/>
  <c r="E13" i="3"/>
  <c r="B14" i="3"/>
  <c r="C14" i="3"/>
  <c r="E14" i="3"/>
  <c r="B15" i="3"/>
  <c r="C15" i="3"/>
  <c r="D15" i="3" s="1"/>
  <c r="B16" i="3"/>
  <c r="C16" i="3"/>
  <c r="E16" i="3"/>
  <c r="B17" i="3"/>
  <c r="C17" i="3"/>
  <c r="D17" i="3" s="1"/>
  <c r="E17" i="3"/>
  <c r="B18" i="3"/>
  <c r="C18" i="3"/>
  <c r="E18" i="3" s="1"/>
  <c r="B19" i="3"/>
  <c r="C19" i="3"/>
  <c r="D19" i="3" s="1"/>
  <c r="B20" i="3"/>
  <c r="C20" i="3"/>
  <c r="E20" i="3"/>
  <c r="B21" i="3"/>
  <c r="C21" i="3"/>
  <c r="E21" i="3"/>
  <c r="B22" i="3"/>
  <c r="C22" i="3"/>
  <c r="E22" i="3"/>
  <c r="B23" i="3"/>
  <c r="C23" i="3"/>
  <c r="D23" i="3" s="1"/>
  <c r="B24" i="3"/>
  <c r="C24" i="3"/>
  <c r="E24" i="3"/>
  <c r="B25" i="3"/>
  <c r="C25" i="3"/>
  <c r="D25" i="3" s="1"/>
  <c r="B26" i="3"/>
  <c r="C26" i="3"/>
  <c r="E26" i="3"/>
  <c r="B27" i="3"/>
  <c r="C27" i="3"/>
  <c r="D27" i="3" s="1"/>
  <c r="B28" i="3"/>
  <c r="C28" i="3"/>
  <c r="E28" i="3"/>
  <c r="B29" i="3"/>
  <c r="C29" i="3"/>
  <c r="B30" i="3"/>
  <c r="C30" i="3"/>
  <c r="E30" i="3" s="1"/>
  <c r="B31" i="3"/>
  <c r="C31" i="3"/>
  <c r="D31" i="3" s="1"/>
  <c r="B32" i="3"/>
  <c r="C32" i="3"/>
  <c r="E32" i="3"/>
  <c r="B33" i="3"/>
  <c r="C33" i="3"/>
  <c r="B6" i="3"/>
  <c r="C6" i="3"/>
  <c r="D6" i="3"/>
  <c r="E6" i="3"/>
  <c r="B7" i="3"/>
  <c r="C7" i="3"/>
  <c r="E7" i="3" s="1"/>
  <c r="C5" i="3"/>
  <c r="B5" i="3"/>
  <c r="C21" i="1"/>
  <c r="C22" i="1"/>
  <c r="C20" i="1"/>
  <c r="C19" i="1"/>
  <c r="C23" i="1" s="1"/>
  <c r="B12" i="1"/>
  <c r="E8" i="1" s="1"/>
  <c r="B22" i="1"/>
  <c r="B21" i="1"/>
  <c r="B20" i="1"/>
  <c r="B19" i="1"/>
  <c r="B13" i="1"/>
  <c r="B15" i="1" s="1"/>
  <c r="D22" i="1"/>
  <c r="D21" i="1"/>
  <c r="D20" i="1"/>
  <c r="D19" i="1"/>
  <c r="D10" i="3" l="1"/>
  <c r="D18" i="3"/>
  <c r="D5" i="3"/>
  <c r="D30" i="3"/>
  <c r="D7" i="3"/>
  <c r="D29" i="3"/>
  <c r="D14" i="3"/>
  <c r="D26" i="3"/>
  <c r="E19" i="3"/>
  <c r="E11" i="3"/>
  <c r="D20" i="3"/>
  <c r="D32" i="3"/>
  <c r="D28" i="3"/>
  <c r="D12" i="3"/>
  <c r="B14" i="1"/>
  <c r="E5" i="3"/>
  <c r="D21" i="3"/>
  <c r="D16" i="3"/>
  <c r="D13" i="3"/>
  <c r="D8" i="3"/>
  <c r="D22" i="3"/>
  <c r="D33" i="3"/>
  <c r="D24" i="3"/>
  <c r="E15" i="3"/>
  <c r="E33" i="3"/>
  <c r="E31" i="3"/>
  <c r="E29" i="3"/>
  <c r="E27" i="3"/>
  <c r="E25" i="3"/>
  <c r="E23" i="3"/>
  <c r="B23" i="1"/>
</calcChain>
</file>

<file path=xl/sharedStrings.xml><?xml version="1.0" encoding="utf-8"?>
<sst xmlns="http://schemas.openxmlformats.org/spreadsheetml/2006/main" count="64" uniqueCount="56">
  <si>
    <t>SIMULADOR DE INVESTIMENTOS EM FIIs</t>
  </si>
  <si>
    <t>PARÂMETROS EDITÁVEIS</t>
  </si>
  <si>
    <t>VALOR</t>
  </si>
  <si>
    <t>Patrimônio inicial (R$)</t>
  </si>
  <si>
    <t>Aporte mensal (R$)</t>
  </si>
  <si>
    <t>Rentabilidade mensal estimada</t>
  </si>
  <si>
    <t>Dividendos mensais estimados</t>
  </si>
  <si>
    <t>Prazo (anos)</t>
  </si>
  <si>
    <t>Perfil do investidor</t>
  </si>
  <si>
    <t>Moderado</t>
  </si>
  <si>
    <t>RESULTADOS</t>
  </si>
  <si>
    <t>Total aportado</t>
  </si>
  <si>
    <t>Patrimônio projetado</t>
  </si>
  <si>
    <t>Rendimento acumulado</t>
  </si>
  <si>
    <t>Categoria</t>
  </si>
  <si>
    <t>Percentual</t>
  </si>
  <si>
    <t>Perfil selecionado</t>
  </si>
  <si>
    <t>Papel</t>
  </si>
  <si>
    <t>Tijolo</t>
  </si>
  <si>
    <t>Híbridos</t>
  </si>
  <si>
    <t>FOFs</t>
  </si>
  <si>
    <t>Total distribuído</t>
  </si>
  <si>
    <t>TABELA DE APOIO | PERFIS DE INVESTIDOR</t>
  </si>
  <si>
    <t>Perfil</t>
  </si>
  <si>
    <t>Conservador</t>
  </si>
  <si>
    <t>Arrojado</t>
  </si>
  <si>
    <t>Distribuição ilustrativa: não representa recomendação de investimento.</t>
  </si>
  <si>
    <t>CENÁRIOS DE LONGO PRAZO</t>
  </si>
  <si>
    <t>Anos</t>
  </si>
  <si>
    <t>Aportes totais (R$)</t>
  </si>
  <si>
    <t>Patrimônio (R$)</t>
  </si>
  <si>
    <t>Rendimento (R$)</t>
  </si>
  <si>
    <t>Dividendos/mês (R$)</t>
  </si>
  <si>
    <t>GUIA | METODOLOGIA E FÓRMULAS</t>
  </si>
  <si>
    <t>ETAPA</t>
  </si>
  <si>
    <t>EXPLICAÇÃO</t>
  </si>
  <si>
    <t>1. Configurações</t>
  </si>
  <si>
    <t>Edite as células destacadas na aba Simulador. Taxas são mensais.</t>
  </si>
  <si>
    <t>2. Valor futuro</t>
  </si>
  <si>
    <t>VF(taxa; períodos; pagamento; valor_presente; tipo). Aporte no fim de cada mês.</t>
  </si>
  <si>
    <t>3. Projeções</t>
  </si>
  <si>
    <t>A aba Cenarios aplica VF para cada prazo de 2 a 30 anos.</t>
  </si>
  <si>
    <t>4. Perfis</t>
  </si>
  <si>
    <t>PROCV consulta a tabela de apoio Perfis para distribuir o aporte.</t>
  </si>
  <si>
    <t>5. Entrega</t>
  </si>
  <si>
    <t>Publique a planilha, capturas de tela e um README no GitHub.</t>
  </si>
  <si>
    <t>Observação</t>
  </si>
  <si>
    <t>Excel em português mostra VF/PROCV; o arquivo XLSX usa FV/VLOOKUP internamente.</t>
  </si>
  <si>
    <t>Premissas</t>
  </si>
  <si>
    <t>Rentabilidade constante, sem impostos, custos, inflação ou volatilidade.</t>
  </si>
  <si>
    <t>Dividendos</t>
  </si>
  <si>
    <t>Dividendos estimados = patrimônio projetado × taxa mensal informada.</t>
  </si>
  <si>
    <t>Cuidado</t>
  </si>
  <si>
    <t>A taxa de dividendos é informativa; não some dividendos ao patrimônio novamente.</t>
  </si>
  <si>
    <t>Aviso</t>
  </si>
  <si>
    <t>Ferramenta educacional. Resultados não são garantidos nem constituem recomendação.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</si>
</sst>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(&quot;R$&quot;\ #,##0.00\);\-"/>
    <numFmt numFmtId="165" formatCode="&quot;R$&quot;\ #,##0.00"/>
    <numFmt numFmtId="166" formatCode="&quot;R$&quot;\ #,##0.00;[Red]&quot;R$&quot;\ #,##0.00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u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87F8C"/>
      </patternFill>
    </fill>
    <fill>
      <patternFill patternType="solid">
        <fgColor rgb="FFFFF3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10" fontId="3" fillId="4" borderId="0" xfId="0" applyNumberFormat="1" applyFont="1" applyFill="1"/>
    <xf numFmtId="164" fontId="3" fillId="4" borderId="0" xfId="0" applyNumberFormat="1" applyFont="1" applyFill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166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Patrimônio projetado</c:v>
          </c:tx>
          <c:marker>
            <c:symbol val="none"/>
          </c:marker>
          <c:cat>
            <c:numRef>
              <c:f>Cenarios!$A$5:$A$33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Cenarios!$C$5:$C$33</c:f>
              <c:numCache>
                <c:formatCode>"R$"\ #,##0.00;[Red]\("R$"\ #,##0.00\);\-</c:formatCode>
                <c:ptCount val="29"/>
                <c:pt idx="0">
                  <c:v>14382.32279644874</c:v>
                </c:pt>
                <c:pt idx="1">
                  <c:v>22096.594635707548</c:v>
                </c:pt>
                <c:pt idx="2">
                  <c:v>30584.906434288852</c:v>
                </c:pt>
                <c:pt idx="3">
                  <c:v>39924.924350595153</c:v>
                </c:pt>
                <c:pt idx="4">
                  <c:v>50202.107463909029</c:v>
                </c:pt>
                <c:pt idx="5">
                  <c:v>61510.489705894463</c:v>
                </c:pt>
                <c:pt idx="6">
                  <c:v>73953.540250083606</c:v>
                </c:pt>
                <c:pt idx="7">
                  <c:v>87645.110231720682</c:v>
                </c:pt>
                <c:pt idx="8">
                  <c:v>102710.4744602384</c:v>
                </c:pt>
                <c:pt idx="9">
                  <c:v>119287.47765580358</c:v>
                </c:pt>
                <c:pt idx="10">
                  <c:v>137527.7956977401</c:v>
                </c:pt>
                <c:pt idx="11">
                  <c:v>157598.32342497172</c:v>
                </c:pt>
                <c:pt idx="12">
                  <c:v>179682.70168654734</c:v>
                </c:pt>
                <c:pt idx="13">
                  <c:v>203982.99761442278</c:v>
                </c:pt>
                <c:pt idx="14">
                  <c:v>230721.55349261712</c:v>
                </c:pt>
                <c:pt idx="15">
                  <c:v>260143.02113948567</c:v>
                </c:pt>
                <c:pt idx="16">
                  <c:v>292516.60041725275</c:v>
                </c:pt>
                <c:pt idx="17">
                  <c:v>328138.50235066714</c:v>
                </c:pt>
                <c:pt idx="18">
                  <c:v>367334.65939176519</c:v>
                </c:pt>
                <c:pt idx="19">
                  <c:v>410463.70762905979</c:v>
                </c:pt>
                <c:pt idx="20">
                  <c:v>457920.26822770527</c:v>
                </c:pt>
                <c:pt idx="21">
                  <c:v>510138.55812507996</c:v>
                </c:pt>
                <c:pt idx="22">
                  <c:v>567596.36301884835</c:v>
                </c:pt>
                <c:pt idx="23">
                  <c:v>630819.40899945481</c:v>
                </c:pt>
                <c:pt idx="24">
                  <c:v>700386.17282651097</c:v>
                </c:pt>
                <c:pt idx="25">
                  <c:v>776933.17486203392</c:v>
                </c:pt>
                <c:pt idx="26">
                  <c:v>861160.80308968807</c:v>
                </c:pt>
                <c:pt idx="27">
                  <c:v>953839.72150851483</c:v>
                </c:pt>
                <c:pt idx="28">
                  <c:v>1055817.9215365113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7-4F59-8F52-88F4F4545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\ #,##0.00;[Red]\(&quot;R$&quot;\ 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B6" sqref="B6"/>
    </sheetView>
  </sheetViews>
  <sheetFormatPr defaultRowHeight="14.25"/>
  <cols>
    <col min="1" max="1" width="30" customWidth="1"/>
    <col min="2" max="6" width="21" customWidth="1"/>
  </cols>
  <sheetData>
    <row r="1" spans="1:6" ht="35.1" customHeight="1">
      <c r="A1" s="10" t="s">
        <v>0</v>
      </c>
      <c r="B1" s="10"/>
      <c r="C1" s="10"/>
      <c r="D1" s="10"/>
      <c r="E1" s="10"/>
      <c r="F1" s="10"/>
    </row>
    <row r="3" spans="1:6" ht="26.1" customHeight="1">
      <c r="A3" s="1" t="s">
        <v>1</v>
      </c>
      <c r="B3" s="1" t="s">
        <v>2</v>
      </c>
    </row>
    <row r="4" spans="1:6">
      <c r="A4" t="s">
        <v>3</v>
      </c>
      <c r="B4" s="5">
        <v>1000</v>
      </c>
    </row>
    <row r="5" spans="1:6">
      <c r="A5" t="s">
        <v>4</v>
      </c>
      <c r="B5" s="5">
        <v>500</v>
      </c>
    </row>
    <row r="6" spans="1:6">
      <c r="A6" t="s">
        <v>5</v>
      </c>
      <c r="B6" s="4">
        <v>8.0000000000000002E-3</v>
      </c>
    </row>
    <row r="7" spans="1:6">
      <c r="A7" t="s">
        <v>6</v>
      </c>
      <c r="B7" s="4">
        <v>6.0000000000000001E-3</v>
      </c>
    </row>
    <row r="8" spans="1:6">
      <c r="A8" t="s">
        <v>7</v>
      </c>
      <c r="B8" s="3">
        <v>10</v>
      </c>
      <c r="E8" s="11">
        <f>B13-B12</f>
        <v>41710.474460238402</v>
      </c>
    </row>
    <row r="9" spans="1:6">
      <c r="A9" t="s">
        <v>8</v>
      </c>
      <c r="B9" s="2" t="s">
        <v>9</v>
      </c>
      <c r="D9" s="12"/>
    </row>
    <row r="11" spans="1:6" ht="26.1" customHeight="1">
      <c r="A11" s="1" t="s">
        <v>10</v>
      </c>
      <c r="B11" s="1" t="s">
        <v>2</v>
      </c>
    </row>
    <row r="12" spans="1:6">
      <c r="A12" t="s">
        <v>11</v>
      </c>
      <c r="B12" s="6">
        <f>PatrimonioInicial+AporteMensal*PrazoAnos*12</f>
        <v>61000</v>
      </c>
    </row>
    <row r="13" spans="1:6">
      <c r="A13" t="s">
        <v>12</v>
      </c>
      <c r="B13" s="6">
        <f>FV(TaxaMensal,PrazoAnos*12,-AporteMensal,-PatrimonioInicial,0)</f>
        <v>102710.4744602384</v>
      </c>
    </row>
    <row r="14" spans="1:6">
      <c r="A14" t="s">
        <v>13</v>
      </c>
      <c r="B14" s="6">
        <f>B13-B12</f>
        <v>41710.474460238402</v>
      </c>
    </row>
    <row r="15" spans="1:6">
      <c r="A15" t="s">
        <v>6</v>
      </c>
      <c r="B15" s="6">
        <f>B13*TaxaDividendos</f>
        <v>616.26284676143041</v>
      </c>
    </row>
    <row r="18" spans="1:4" ht="26.1" customHeight="1">
      <c r="A18" s="1" t="s">
        <v>14</v>
      </c>
      <c r="B18" s="1" t="s">
        <v>15</v>
      </c>
      <c r="C18" s="1" t="s">
        <v>4</v>
      </c>
      <c r="D18" s="1" t="s">
        <v>16</v>
      </c>
    </row>
    <row r="19" spans="1:4">
      <c r="A19" t="s">
        <v>17</v>
      </c>
      <c r="B19" s="7">
        <f>VLOOKUP(PerfilInvestidor,TabelaPerfis,2,FALSE)</f>
        <v>0.3</v>
      </c>
      <c r="C19" s="8">
        <f>AporteMensal*B19</f>
        <v>150</v>
      </c>
      <c r="D19" t="str">
        <f>$B$9</f>
        <v>Moderado</v>
      </c>
    </row>
    <row r="20" spans="1:4">
      <c r="A20" t="s">
        <v>18</v>
      </c>
      <c r="B20" s="7">
        <f>VLOOKUP(PerfilInvestidor,TabelaPerfis,3,FALSE)</f>
        <v>0.35</v>
      </c>
      <c r="C20" s="8">
        <f>AporteMensal*B20</f>
        <v>175</v>
      </c>
      <c r="D20" t="str">
        <f>$B$9</f>
        <v>Moderado</v>
      </c>
    </row>
    <row r="21" spans="1:4">
      <c r="A21" t="s">
        <v>19</v>
      </c>
      <c r="B21" s="7">
        <f>VLOOKUP(PerfilInvestidor,TabelaPerfis,4,FALSE)</f>
        <v>0.25</v>
      </c>
      <c r="C21" s="8">
        <f>AporteMensal*B21</f>
        <v>125</v>
      </c>
      <c r="D21" t="str">
        <f>$B$9</f>
        <v>Moderado</v>
      </c>
    </row>
    <row r="22" spans="1:4">
      <c r="A22" t="s">
        <v>20</v>
      </c>
      <c r="B22" s="7">
        <f>VLOOKUP(PerfilInvestidor,TabelaPerfis,5,FALSE)</f>
        <v>0.1</v>
      </c>
      <c r="C22" s="8">
        <f>AporteMensal*B22</f>
        <v>50</v>
      </c>
      <c r="D22" t="str">
        <f>$B$9</f>
        <v>Moderado</v>
      </c>
    </row>
    <row r="23" spans="1:4">
      <c r="A23" t="s">
        <v>21</v>
      </c>
      <c r="B23" s="7">
        <f>SUM(B19:B22)</f>
        <v>0.99999999999999989</v>
      </c>
      <c r="C23" s="8">
        <f>SUM(C19:C22)</f>
        <v>500</v>
      </c>
    </row>
  </sheetData>
  <mergeCells count="1">
    <mergeCell ref="A1:F1"/>
  </mergeCells>
  <dataValidations count="1">
    <dataValidation type="list" sqref="B9" xr:uid="{00000000-0002-0000-0000-000000000000}">
      <formula1>"Conservador,Moderado,Arrojado"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A10" sqref="A10"/>
    </sheetView>
  </sheetViews>
  <sheetFormatPr defaultRowHeight="14.25"/>
  <cols>
    <col min="1" max="1" width="30" customWidth="1"/>
    <col min="2" max="6" width="21" customWidth="1"/>
  </cols>
  <sheetData>
    <row r="1" spans="1:5" ht="35.1" customHeight="1">
      <c r="A1" s="10" t="s">
        <v>22</v>
      </c>
      <c r="B1" s="10"/>
      <c r="C1" s="10"/>
      <c r="D1" s="10"/>
      <c r="E1" s="10"/>
    </row>
    <row r="4" spans="1:5" ht="26.1" customHeight="1">
      <c r="A4" s="1" t="s">
        <v>23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5">
      <c r="A5" t="s">
        <v>24</v>
      </c>
      <c r="B5" s="7">
        <v>0.45</v>
      </c>
      <c r="C5" s="7">
        <v>0.25</v>
      </c>
      <c r="D5" s="7">
        <v>0.2</v>
      </c>
      <c r="E5" s="7">
        <v>0.1</v>
      </c>
    </row>
    <row r="6" spans="1:5">
      <c r="A6" t="s">
        <v>9</v>
      </c>
      <c r="B6" s="7">
        <v>0.3</v>
      </c>
      <c r="C6" s="7">
        <v>0.35</v>
      </c>
      <c r="D6" s="7">
        <v>0.25</v>
      </c>
      <c r="E6" s="7">
        <v>0.1</v>
      </c>
    </row>
    <row r="7" spans="1:5">
      <c r="A7" t="s">
        <v>25</v>
      </c>
      <c r="B7" s="7">
        <v>0.2</v>
      </c>
      <c r="C7" s="7">
        <v>0.45</v>
      </c>
      <c r="D7" s="7">
        <v>0.25</v>
      </c>
      <c r="E7" s="7">
        <v>0.1</v>
      </c>
    </row>
    <row r="10" spans="1:5">
      <c r="A10" t="s">
        <v>26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zoomScale="70" zoomScaleNormal="70" workbookViewId="0">
      <selection activeCell="B32" sqref="B32"/>
    </sheetView>
  </sheetViews>
  <sheetFormatPr defaultRowHeight="14.25"/>
  <cols>
    <col min="1" max="1" width="30" customWidth="1"/>
    <col min="2" max="6" width="21" customWidth="1"/>
  </cols>
  <sheetData>
    <row r="1" spans="1:5" ht="35.1" customHeight="1">
      <c r="A1" s="10" t="s">
        <v>27</v>
      </c>
      <c r="B1" s="10"/>
      <c r="C1" s="10"/>
      <c r="D1" s="10"/>
      <c r="E1" s="10"/>
    </row>
    <row r="4" spans="1:5" ht="26.1" customHeight="1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</row>
    <row r="5" spans="1:5">
      <c r="A5">
        <v>2</v>
      </c>
      <c r="B5" s="6">
        <f>PatrimonioInicial+AporteMensal*A5*12</f>
        <v>13000</v>
      </c>
      <c r="C5" s="6">
        <f>FV(TaxaMensal,A5*12,-AporteMensal,-PatrimonioInicial,0)</f>
        <v>14382.32279644874</v>
      </c>
      <c r="D5" s="6">
        <f>C5-B5</f>
        <v>1382.3227964487396</v>
      </c>
      <c r="E5" s="6">
        <f>C5*TaxaDividendos</f>
        <v>86.293936778692441</v>
      </c>
    </row>
    <row r="6" spans="1:5">
      <c r="A6">
        <v>3</v>
      </c>
      <c r="B6" s="6">
        <f>PatrimonioInicial+AporteMensal*A6*12</f>
        <v>19000</v>
      </c>
      <c r="C6" s="6">
        <f>FV(TaxaMensal,A6*12,-AporteMensal,-PatrimonioInicial,0)</f>
        <v>22096.594635707548</v>
      </c>
      <c r="D6" s="6">
        <f t="shared" ref="D6:D10" si="0">C6-B6</f>
        <v>3096.5946357075482</v>
      </c>
      <c r="E6" s="6">
        <f>C6*TaxaDividendos</f>
        <v>132.57956781424528</v>
      </c>
    </row>
    <row r="7" spans="1:5">
      <c r="A7">
        <v>4</v>
      </c>
      <c r="B7" s="6">
        <f>PatrimonioInicial+AporteMensal*A7*12</f>
        <v>25000</v>
      </c>
      <c r="C7" s="6">
        <f>FV(TaxaMensal,A7*12,-AporteMensal,-PatrimonioInicial,0)</f>
        <v>30584.906434288852</v>
      </c>
      <c r="D7" s="6">
        <f t="shared" si="0"/>
        <v>5584.9064342888523</v>
      </c>
      <c r="E7" s="6">
        <f>C7*TaxaDividendos</f>
        <v>183.50943860573312</v>
      </c>
    </row>
    <row r="8" spans="1:5">
      <c r="A8">
        <v>5</v>
      </c>
      <c r="B8" s="6">
        <f>PatrimonioInicial+AporteMensal*A8*12</f>
        <v>31000</v>
      </c>
      <c r="C8" s="6">
        <f>FV(TaxaMensal,A8*12,-AporteMensal,-PatrimonioInicial,0)</f>
        <v>39924.924350595153</v>
      </c>
      <c r="D8" s="6">
        <f t="shared" si="0"/>
        <v>8924.9243505951526</v>
      </c>
      <c r="E8" s="6">
        <f>C8*TaxaDividendos</f>
        <v>239.54954610357092</v>
      </c>
    </row>
    <row r="9" spans="1:5">
      <c r="A9">
        <v>6</v>
      </c>
      <c r="B9" s="6">
        <f>PatrimonioInicial+AporteMensal*A9*12</f>
        <v>37000</v>
      </c>
      <c r="C9" s="6">
        <f>FV(TaxaMensal,A9*12,-AporteMensal,-PatrimonioInicial,0)</f>
        <v>50202.107463909029</v>
      </c>
      <c r="D9" s="6">
        <f t="shared" ref="D9:D33" si="1">C9-B9</f>
        <v>13202.107463909029</v>
      </c>
      <c r="E9" s="6">
        <f>C9*TaxaDividendos</f>
        <v>301.21264478345421</v>
      </c>
    </row>
    <row r="10" spans="1:5">
      <c r="A10">
        <v>7</v>
      </c>
      <c r="B10" s="6">
        <f>PatrimonioInicial+AporteMensal*A10*12</f>
        <v>43000</v>
      </c>
      <c r="C10" s="6">
        <f>FV(TaxaMensal,A10*12,-AporteMensal,-PatrimonioInicial,0)</f>
        <v>61510.489705894463</v>
      </c>
      <c r="D10" s="6">
        <f t="shared" si="1"/>
        <v>18510.489705894463</v>
      </c>
      <c r="E10" s="6">
        <f>C10*TaxaDividendos</f>
        <v>369.0629382353668</v>
      </c>
    </row>
    <row r="11" spans="1:5">
      <c r="A11">
        <v>8</v>
      </c>
      <c r="B11" s="6">
        <f>PatrimonioInicial+AporteMensal*A11*12</f>
        <v>49000</v>
      </c>
      <c r="C11" s="6">
        <f>FV(TaxaMensal,A11*12,-AporteMensal,-PatrimonioInicial,0)</f>
        <v>73953.540250083606</v>
      </c>
      <c r="D11" s="6">
        <f t="shared" si="1"/>
        <v>24953.540250083606</v>
      </c>
      <c r="E11" s="6">
        <f>C11*TaxaDividendos</f>
        <v>443.72124150050166</v>
      </c>
    </row>
    <row r="12" spans="1:5">
      <c r="A12">
        <v>9</v>
      </c>
      <c r="B12" s="6">
        <f>PatrimonioInicial+AporteMensal*A12*12</f>
        <v>55000</v>
      </c>
      <c r="C12" s="6">
        <f>FV(TaxaMensal,A12*12,-AporteMensal,-PatrimonioInicial,0)</f>
        <v>87645.110231720682</v>
      </c>
      <c r="D12" s="6">
        <f t="shared" si="1"/>
        <v>32645.110231720682</v>
      </c>
      <c r="E12" s="6">
        <f>C12*TaxaDividendos</f>
        <v>525.87066139032413</v>
      </c>
    </row>
    <row r="13" spans="1:5">
      <c r="A13">
        <v>10</v>
      </c>
      <c r="B13" s="6">
        <f>PatrimonioInicial+AporteMensal*A13*12</f>
        <v>61000</v>
      </c>
      <c r="C13" s="6">
        <f>FV(TaxaMensal,A13*12,-AporteMensal,-PatrimonioInicial,0)</f>
        <v>102710.4744602384</v>
      </c>
      <c r="D13" s="6">
        <f t="shared" si="1"/>
        <v>41710.474460238402</v>
      </c>
      <c r="E13" s="6">
        <f>C13*TaxaDividendos</f>
        <v>616.26284676143041</v>
      </c>
    </row>
    <row r="14" spans="1:5">
      <c r="A14">
        <v>11</v>
      </c>
      <c r="B14" s="6">
        <f>PatrimonioInicial+AporteMensal*A14*12</f>
        <v>67000</v>
      </c>
      <c r="C14" s="6">
        <f>FV(TaxaMensal,A14*12,-AporteMensal,-PatrimonioInicial,0)</f>
        <v>119287.47765580358</v>
      </c>
      <c r="D14" s="6">
        <f t="shared" si="1"/>
        <v>52287.477655803581</v>
      </c>
      <c r="E14" s="6">
        <f>C14*TaxaDividendos</f>
        <v>715.72486593482154</v>
      </c>
    </row>
    <row r="15" spans="1:5">
      <c r="A15">
        <v>12</v>
      </c>
      <c r="B15" s="6">
        <f>PatrimonioInicial+AporteMensal*A15*12</f>
        <v>73000</v>
      </c>
      <c r="C15" s="6">
        <f>FV(TaxaMensal,A15*12,-AporteMensal,-PatrimonioInicial,0)</f>
        <v>137527.7956977401</v>
      </c>
      <c r="D15" s="6">
        <f t="shared" si="1"/>
        <v>64527.795697740105</v>
      </c>
      <c r="E15" s="6">
        <f>C15*TaxaDividendos</f>
        <v>825.16677418644065</v>
      </c>
    </row>
    <row r="16" spans="1:5">
      <c r="A16">
        <v>13</v>
      </c>
      <c r="B16" s="6">
        <f>PatrimonioInicial+AporteMensal*A16*12</f>
        <v>79000</v>
      </c>
      <c r="C16" s="6">
        <f>FV(TaxaMensal,A16*12,-AporteMensal,-PatrimonioInicial,0)</f>
        <v>157598.32342497172</v>
      </c>
      <c r="D16" s="6">
        <f t="shared" si="1"/>
        <v>78598.323424971721</v>
      </c>
      <c r="E16" s="6">
        <f>C16*TaxaDividendos</f>
        <v>945.58994054983032</v>
      </c>
    </row>
    <row r="17" spans="1:5">
      <c r="A17">
        <v>14</v>
      </c>
      <c r="B17" s="6">
        <f>PatrimonioInicial+AporteMensal*A17*12</f>
        <v>85000</v>
      </c>
      <c r="C17" s="6">
        <f>FV(TaxaMensal,A17*12,-AporteMensal,-PatrimonioInicial,0)</f>
        <v>179682.70168654734</v>
      </c>
      <c r="D17" s="6">
        <f t="shared" si="1"/>
        <v>94682.701686547342</v>
      </c>
      <c r="E17" s="6">
        <f>C17*TaxaDividendos</f>
        <v>1078.096210119284</v>
      </c>
    </row>
    <row r="18" spans="1:5">
      <c r="A18">
        <v>15</v>
      </c>
      <c r="B18" s="6">
        <f>PatrimonioInicial+AporteMensal*A18*12</f>
        <v>91000</v>
      </c>
      <c r="C18" s="6">
        <f>FV(TaxaMensal,A18*12,-AporteMensal,-PatrimonioInicial,0)</f>
        <v>203982.99761442278</v>
      </c>
      <c r="D18" s="6">
        <f t="shared" si="1"/>
        <v>112982.99761442278</v>
      </c>
      <c r="E18" s="6">
        <f>C18*TaxaDividendos</f>
        <v>1223.8979856865367</v>
      </c>
    </row>
    <row r="19" spans="1:5">
      <c r="A19">
        <v>16</v>
      </c>
      <c r="B19" s="6">
        <f>PatrimonioInicial+AporteMensal*A19*12</f>
        <v>97000</v>
      </c>
      <c r="C19" s="6">
        <f>FV(TaxaMensal,A19*12,-AporteMensal,-PatrimonioInicial,0)</f>
        <v>230721.55349261712</v>
      </c>
      <c r="D19" s="6">
        <f t="shared" si="1"/>
        <v>133721.55349261712</v>
      </c>
      <c r="E19" s="6">
        <f>C19*TaxaDividendos</f>
        <v>1384.3293209557028</v>
      </c>
    </row>
    <row r="20" spans="1:5">
      <c r="A20">
        <v>17</v>
      </c>
      <c r="B20" s="6">
        <f>PatrimonioInicial+AporteMensal*A20*12</f>
        <v>103000</v>
      </c>
      <c r="C20" s="6">
        <f>FV(TaxaMensal,A20*12,-AporteMensal,-PatrimonioInicial,0)</f>
        <v>260143.02113948567</v>
      </c>
      <c r="D20" s="6">
        <f t="shared" si="1"/>
        <v>157143.02113948567</v>
      </c>
      <c r="E20" s="6">
        <f>C20*TaxaDividendos</f>
        <v>1560.8581268369142</v>
      </c>
    </row>
    <row r="21" spans="1:5">
      <c r="A21">
        <v>18</v>
      </c>
      <c r="B21" s="6">
        <f>PatrimonioInicial+AporteMensal*A21*12</f>
        <v>109000</v>
      </c>
      <c r="C21" s="6">
        <f>FV(TaxaMensal,A21*12,-AporteMensal,-PatrimonioInicial,0)</f>
        <v>292516.60041725275</v>
      </c>
      <c r="D21" s="6">
        <f t="shared" si="1"/>
        <v>183516.60041725275</v>
      </c>
      <c r="E21" s="6">
        <f>C21*TaxaDividendos</f>
        <v>1755.0996025035165</v>
      </c>
    </row>
    <row r="22" spans="1:5">
      <c r="A22">
        <v>19</v>
      </c>
      <c r="B22" s="6">
        <f>PatrimonioInicial+AporteMensal*A22*12</f>
        <v>115000</v>
      </c>
      <c r="C22" s="6">
        <f>FV(TaxaMensal,A22*12,-AporteMensal,-PatrimonioInicial,0)</f>
        <v>328138.50235066714</v>
      </c>
      <c r="D22" s="6">
        <f t="shared" si="1"/>
        <v>213138.50235066714</v>
      </c>
      <c r="E22" s="6">
        <f>C22*TaxaDividendos</f>
        <v>1968.8310141040029</v>
      </c>
    </row>
    <row r="23" spans="1:5">
      <c r="A23">
        <v>20</v>
      </c>
      <c r="B23" s="6">
        <f>PatrimonioInicial+AporteMensal*A23*12</f>
        <v>121000</v>
      </c>
      <c r="C23" s="6">
        <f>FV(TaxaMensal,A23*12,-AporteMensal,-PatrimonioInicial,0)</f>
        <v>367334.65939176519</v>
      </c>
      <c r="D23" s="6">
        <f t="shared" si="1"/>
        <v>246334.65939176519</v>
      </c>
      <c r="E23" s="6">
        <f>C23*TaxaDividendos</f>
        <v>2204.007956350591</v>
      </c>
    </row>
    <row r="24" spans="1:5">
      <c r="A24">
        <v>21</v>
      </c>
      <c r="B24" s="6">
        <f>PatrimonioInicial+AporteMensal*A24*12</f>
        <v>127000</v>
      </c>
      <c r="C24" s="6">
        <f>FV(TaxaMensal,A24*12,-AporteMensal,-PatrimonioInicial,0)</f>
        <v>410463.70762905979</v>
      </c>
      <c r="D24" s="6">
        <f t="shared" si="1"/>
        <v>283463.70762905979</v>
      </c>
      <c r="E24" s="6">
        <f>C24*TaxaDividendos</f>
        <v>2462.7822457743587</v>
      </c>
    </row>
    <row r="25" spans="1:5">
      <c r="A25">
        <v>22</v>
      </c>
      <c r="B25" s="6">
        <f>PatrimonioInicial+AporteMensal*A25*12</f>
        <v>133000</v>
      </c>
      <c r="C25" s="6">
        <f>FV(TaxaMensal,A25*12,-AporteMensal,-PatrimonioInicial,0)</f>
        <v>457920.26822770527</v>
      </c>
      <c r="D25" s="6">
        <f t="shared" si="1"/>
        <v>324920.26822770527</v>
      </c>
      <c r="E25" s="6">
        <f>C25*TaxaDividendos</f>
        <v>2747.5216093662316</v>
      </c>
    </row>
    <row r="26" spans="1:5">
      <c r="A26">
        <v>23</v>
      </c>
      <c r="B26" s="6">
        <f>PatrimonioInicial+AporteMensal*A26*12</f>
        <v>139000</v>
      </c>
      <c r="C26" s="6">
        <f>FV(TaxaMensal,A26*12,-AporteMensal,-PatrimonioInicial,0)</f>
        <v>510138.55812507996</v>
      </c>
      <c r="D26" s="6">
        <f t="shared" si="1"/>
        <v>371138.55812507996</v>
      </c>
      <c r="E26" s="6">
        <f>C26*TaxaDividendos</f>
        <v>3060.8313487504797</v>
      </c>
    </row>
    <row r="27" spans="1:5">
      <c r="A27">
        <v>24</v>
      </c>
      <c r="B27" s="6">
        <f>PatrimonioInicial+AporteMensal*A27*12</f>
        <v>145000</v>
      </c>
      <c r="C27" s="6">
        <f>FV(TaxaMensal,A27*12,-AporteMensal,-PatrimonioInicial,0)</f>
        <v>567596.36301884835</v>
      </c>
      <c r="D27" s="6">
        <f t="shared" si="1"/>
        <v>422596.36301884835</v>
      </c>
      <c r="E27" s="6">
        <f>C27*TaxaDividendos</f>
        <v>3405.57817811309</v>
      </c>
    </row>
    <row r="28" spans="1:5">
      <c r="A28">
        <v>25</v>
      </c>
      <c r="B28" s="6">
        <f>PatrimonioInicial+AporteMensal*A28*12</f>
        <v>151000</v>
      </c>
      <c r="C28" s="6">
        <f>FV(TaxaMensal,A28*12,-AporteMensal,-PatrimonioInicial,0)</f>
        <v>630819.40899945481</v>
      </c>
      <c r="D28" s="6">
        <f t="shared" si="1"/>
        <v>479819.40899945481</v>
      </c>
      <c r="E28" s="6">
        <f>C28*TaxaDividendos</f>
        <v>3784.9164539967292</v>
      </c>
    </row>
    <row r="29" spans="1:5">
      <c r="A29">
        <v>26</v>
      </c>
      <c r="B29" s="6">
        <f>PatrimonioInicial+AporteMensal*A29*12</f>
        <v>157000</v>
      </c>
      <c r="C29" s="6">
        <f>FV(TaxaMensal,A29*12,-AporteMensal,-PatrimonioInicial,0)</f>
        <v>700386.17282651097</v>
      </c>
      <c r="D29" s="6">
        <f t="shared" si="1"/>
        <v>543386.17282651097</v>
      </c>
      <c r="E29" s="6">
        <f>C29*TaxaDividendos</f>
        <v>4202.3170369590662</v>
      </c>
    </row>
    <row r="30" spans="1:5">
      <c r="A30">
        <v>27</v>
      </c>
      <c r="B30" s="6">
        <f>PatrimonioInicial+AporteMensal*A30*12</f>
        <v>163000</v>
      </c>
      <c r="C30" s="6">
        <f>FV(TaxaMensal,A30*12,-AporteMensal,-PatrimonioInicial,0)</f>
        <v>776933.17486203392</v>
      </c>
      <c r="D30" s="6">
        <f t="shared" si="1"/>
        <v>613933.17486203392</v>
      </c>
      <c r="E30" s="6">
        <f>C30*TaxaDividendos</f>
        <v>4661.5990491722032</v>
      </c>
    </row>
    <row r="31" spans="1:5">
      <c r="A31">
        <v>28</v>
      </c>
      <c r="B31" s="6">
        <f>PatrimonioInicial+AporteMensal*A31*12</f>
        <v>169000</v>
      </c>
      <c r="C31" s="6">
        <f>FV(TaxaMensal,A31*12,-AporteMensal,-PatrimonioInicial,0)</f>
        <v>861160.80308968807</v>
      </c>
      <c r="D31" s="6">
        <f t="shared" si="1"/>
        <v>692160.80308968807</v>
      </c>
      <c r="E31" s="6">
        <f>C31*TaxaDividendos</f>
        <v>5166.9648185381284</v>
      </c>
    </row>
    <row r="32" spans="1:5">
      <c r="A32">
        <v>29</v>
      </c>
      <c r="B32" s="6">
        <f>PatrimonioInicial+AporteMensal*A32*12</f>
        <v>175000</v>
      </c>
      <c r="C32" s="6">
        <f>FV(TaxaMensal,A32*12,-AporteMensal,-PatrimonioInicial,0)</f>
        <v>953839.72150851483</v>
      </c>
      <c r="D32" s="6">
        <f t="shared" si="1"/>
        <v>778839.72150851483</v>
      </c>
      <c r="E32" s="6">
        <f>C32*TaxaDividendos</f>
        <v>5723.038329051089</v>
      </c>
    </row>
    <row r="33" spans="1:5">
      <c r="A33">
        <v>30</v>
      </c>
      <c r="B33" s="6">
        <f>PatrimonioInicial+AporteMensal*A33*12</f>
        <v>181000</v>
      </c>
      <c r="C33" s="6">
        <f>FV(TaxaMensal,A33*12,-AporteMensal,-PatrimonioInicial,0)</f>
        <v>1055817.9215365113</v>
      </c>
      <c r="D33" s="6">
        <f t="shared" si="1"/>
        <v>874817.92153651128</v>
      </c>
      <c r="E33" s="6">
        <f>C33*TaxaDividendos</f>
        <v>6334.9075292190682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topLeftCell="A7" workbookViewId="0">
      <selection sqref="A1:F1"/>
    </sheetView>
  </sheetViews>
  <sheetFormatPr defaultRowHeight="14.25"/>
  <cols>
    <col min="1" max="1" width="30" customWidth="1"/>
    <col min="2" max="2" width="86" customWidth="1"/>
    <col min="3" max="6" width="21" customWidth="1"/>
  </cols>
  <sheetData>
    <row r="1" spans="1:6" ht="35.1" customHeight="1">
      <c r="A1" s="10" t="s">
        <v>33</v>
      </c>
      <c r="B1" s="10"/>
      <c r="C1" s="10"/>
      <c r="D1" s="10"/>
      <c r="E1" s="10"/>
      <c r="F1" s="10"/>
    </row>
    <row r="4" spans="1:6" ht="26.1" customHeight="1">
      <c r="A4" s="1" t="s">
        <v>34</v>
      </c>
      <c r="B4" s="1" t="s">
        <v>35</v>
      </c>
    </row>
    <row r="5" spans="1:6" ht="32.1" customHeight="1">
      <c r="A5" t="s">
        <v>36</v>
      </c>
      <c r="B5" s="9" t="s">
        <v>37</v>
      </c>
    </row>
    <row r="6" spans="1:6" ht="32.1" customHeight="1">
      <c r="A6" t="s">
        <v>38</v>
      </c>
      <c r="B6" s="9" t="s">
        <v>39</v>
      </c>
    </row>
    <row r="7" spans="1:6" ht="32.1" customHeight="1">
      <c r="A7" t="s">
        <v>40</v>
      </c>
      <c r="B7" s="9" t="s">
        <v>41</v>
      </c>
    </row>
    <row r="8" spans="1:6" ht="32.1" customHeight="1">
      <c r="A8" t="s">
        <v>42</v>
      </c>
      <c r="B8" s="9" t="s">
        <v>43</v>
      </c>
    </row>
    <row r="9" spans="1:6" ht="32.1" customHeight="1">
      <c r="A9" t="s">
        <v>44</v>
      </c>
      <c r="B9" s="9" t="s">
        <v>45</v>
      </c>
    </row>
    <row r="10" spans="1:6" ht="32.1" customHeight="1">
      <c r="A10" t="s">
        <v>46</v>
      </c>
      <c r="B10" s="9" t="s">
        <v>47</v>
      </c>
    </row>
    <row r="11" spans="1:6" ht="32.1" customHeight="1">
      <c r="A11" t="s">
        <v>48</v>
      </c>
      <c r="B11" s="9" t="s">
        <v>49</v>
      </c>
    </row>
    <row r="12" spans="1:6" ht="32.1" customHeight="1">
      <c r="A12" t="s">
        <v>50</v>
      </c>
      <c r="B12" s="9" t="s">
        <v>51</v>
      </c>
    </row>
    <row r="13" spans="1:6" ht="32.1" customHeight="1">
      <c r="A13" t="s">
        <v>52</v>
      </c>
      <c r="B13" s="9" t="s">
        <v>53</v>
      </c>
    </row>
    <row r="14" spans="1:6" ht="32.1" customHeight="1">
      <c r="A14" t="s">
        <v>54</v>
      </c>
      <c r="B14" s="9" t="s">
        <v>55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7</vt:i4>
      </vt:variant>
    </vt:vector>
  </HeadingPairs>
  <TitlesOfParts>
    <vt:vector size="11" baseType="lpstr">
      <vt:lpstr>Simulador</vt:lpstr>
      <vt:lpstr>Perfis</vt:lpstr>
      <vt:lpstr>Cenarios</vt:lpstr>
      <vt:lpstr>Guia</vt:lpstr>
      <vt:lpstr>AporteMensal</vt:lpstr>
      <vt:lpstr>PatrimonioInicial</vt:lpstr>
      <vt:lpstr>PerfilInvestidor</vt:lpstr>
      <vt:lpstr>PrazoAnos</vt:lpstr>
      <vt:lpstr>TabelaPerfis</vt:lpstr>
      <vt:lpstr>TaxaDividendos</vt:lpstr>
      <vt:lpstr>TaxaMensal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Paula Beatriz de Melo Cunha Gomes</cp:lastModifiedBy>
  <dcterms:modified xsi:type="dcterms:W3CDTF">2026-10-08T14:29:52Z</dcterms:modified>
</cp:coreProperties>
</file>