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8e22210ddcb4a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imulador" sheetId="1" r:id="R83bef5d72ad34d53"/>
    <x:sheet xmlns:r="http://schemas.openxmlformats.org/officeDocument/2006/relationships" name="Perfis" sheetId="2" r:id="R59830d6c4dc84bcd"/>
    <x:sheet xmlns:r="http://schemas.openxmlformats.org/officeDocument/2006/relationships" name="Cenarios" sheetId="3" r:id="Rd6ba4fbd4a98473c"/>
    <x:sheet xmlns:r="http://schemas.openxmlformats.org/officeDocument/2006/relationships" name="Guia" sheetId="4" r:id="R8e81b0222d82430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0%"/>
    <x:numFmt numFmtId="201" formatCode="&quot;R$&quot; #,##0.00;[Red](&quot;R$&quot; #,##0.00);-"/>
    <x:numFmt numFmtId="202" formatCode="0%"/>
    <x:numFmt numFmtId="203" formatCode="&quot;R$&quot; #,##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087F8C"/>
      </x:patternFill>
    </x:fill>
    <x:fill>
      <x:patternFill patternType="solid">
        <x:fgColor rgb="FFFFF3BF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200" fontId="3" fillId="4" borderId="0" xfId="0" applyNumberFormat="1" applyFont="1" applyFill="1" applyBorder="1"/>
    <x:xf numFmtId="200" fontId="3" fillId="4" borderId="1" xfId="0" applyNumberFormat="1" applyFont="1" applyFill="1" applyBorder="1"/>
    <x:xf numFmtId="201" fontId="3" fillId="4" borderId="0" xfId="0" applyNumberFormat="1" applyFont="1" applyFill="1" applyBorder="1"/>
    <x:xf numFmtId="201" fontId="3" fillId="4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2d417e22b74e92" /><Relationship Type="http://schemas.openxmlformats.org/officeDocument/2006/relationships/theme" Target="/xl/theme/theme1.xml" Id="R3f762347f9a34a88" /><Relationship Type="http://schemas.openxmlformats.org/officeDocument/2006/relationships/sharedStrings" Target="/xl/sharedStrings.xml" Id="Rda27daeca7754999" /><Relationship Type="http://schemas.openxmlformats.org/officeDocument/2006/relationships/worksheet" Target="/xl/worksheets/sheet1.xml" Id="R83bef5d72ad34d53" /><Relationship Type="http://schemas.openxmlformats.org/officeDocument/2006/relationships/worksheet" Target="/xl/worksheets/sheet2.xml" Id="R59830d6c4dc84bcd" /><Relationship Type="http://schemas.openxmlformats.org/officeDocument/2006/relationships/worksheet" Target="/xl/worksheets/sheet3.xml" Id="Rd6ba4fbd4a98473c" /><Relationship Type="http://schemas.openxmlformats.org/officeDocument/2006/relationships/worksheet" Target="/xl/worksheets/sheet4.xml" Id="R8e81b0222d82430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e41332e7abe427e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ineChart>
        <c:grouping val="standard"/>
        <c:varyColors val="0"/>
        <c:ser>
          <c:idx val="0"/>
          <c:order val="0"/>
          <c:tx>
            <c:v>Patrimônio projetado</c:v>
          </c:tx>
          <c:marker>
            <c:symbol val="none"/>
          </c:marker>
          <c:cat>
            <c:strRef>
              <c:f>'Cenarios'!$A$5:$A$33</c:f>
              <c:strCache>
                <c:ptCount val="0"/>
              </c:strCache>
            </c:strRef>
          </c:cat>
          <c:val>
            <c:numRef>
              <c:f>'Cenarios'!$C$5:$C$33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3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e41332e7abe427e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521f4b7fc56b4826" /></Relationships>
</file>

<file path=xl/worksheets/sheet1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35" customHeight="1">
      <x:c r="A1" s="3" t="str">
        <x:v>SIMULADOR DE INVESTIMENTOS EM FIIs</x:v>
      </x:c>
      <x:c r="B1" s="3"/>
      <x:c r="C1" s="3"/>
      <x:c r="D1" s="3"/>
      <x:c r="E1" s="3"/>
      <x:c r="F1" s="3"/>
    </x:row>
    <x:row r="3" ht="26" customHeight="1">
      <x:c r="A3" s="7" t="str">
        <x:v>PARÂMETROS EDITÁVEIS</x:v>
      </x:c>
      <x:c r="B3" s="7" t="str">
        <x:v>VALOR</x:v>
      </x:c>
    </x:row>
    <x:row r="4">
      <x:c r="A4" t="str">
        <x:v>Patrimônio inicial (R$)</x:v>
      </x:c>
      <x:c r="B4" s="16" t="n">
        <x:v>1000</x:v>
      </x:c>
    </x:row>
    <x:row r="5">
      <x:c r="A5" t="str">
        <x:v>Aporte mensal (R$)</x:v>
      </x:c>
      <x:c r="B5" s="16" t="n">
        <x:v>500</x:v>
      </x:c>
    </x:row>
    <x:row r="6">
      <x:c r="A6" t="str">
        <x:v>Rentabilidade mensal estimada</x:v>
      </x:c>
      <x:c r="B6" s="14" t="n">
        <x:v>0.008</x:v>
      </x:c>
    </x:row>
    <x:row r="7">
      <x:c r="A7" t="str">
        <x:v>Dividendos mensais estimados</x:v>
      </x:c>
      <x:c r="B7" s="14" t="n">
        <x:v>0.006</x:v>
      </x:c>
    </x:row>
    <x:row r="8">
      <x:c r="A8" t="str">
        <x:v>Prazo (anos)</x:v>
      </x:c>
      <x:c r="B8" s="12" t="n">
        <x:v>10</x:v>
      </x:c>
    </x:row>
    <x:row r="9">
      <x:c r="A9" t="str">
        <x:v>Perfil do investidor</x:v>
      </x:c>
      <x:c r="B9" s="10" t="str">
        <x:v>Moderado</x:v>
      </x:c>
    </x:row>
    <x:row r="11" ht="26" customHeight="1">
      <x:c r="A11" s="7" t="str">
        <x:v>RESULTADOS</x:v>
      </x:c>
      <x:c r="B11" s="7" t="str">
        <x:v>VALOR</x:v>
      </x:c>
    </x:row>
    <x:row r="12">
      <x:c r="A12" t="str">
        <x:v>Total aportado</x:v>
      </x:c>
      <x:c r="B12" s="18" t="n">
        <x:f>B4+B5*B8*12</x:f>
        <x:v>61000</x:v>
      </x:c>
    </x:row>
    <x:row r="13">
      <x:c r="A13" t="str">
        <x:v>Patrimônio projetado</x:v>
      </x:c>
      <x:c r="B13" s="18" t="n">
        <x:f>FV(B6,B8*12,-B5,-B4,0)</x:f>
        <x:v>102710.4744602384</x:v>
      </x:c>
    </x:row>
    <x:row r="14">
      <x:c r="A14" t="str">
        <x:v>Rendimento acumulado</x:v>
      </x:c>
      <x:c r="B14" s="18" t="n">
        <x:f>B13-B12</x:f>
        <x:v>41710.4744602384</x:v>
      </x:c>
    </x:row>
    <x:row r="15">
      <x:c r="A15" t="str">
        <x:v>Dividendos mensais estimados</x:v>
      </x:c>
      <x:c r="B15" s="18" t="n">
        <x:f>B13*B7</x:f>
        <x:v>616.2628467614304</x:v>
      </x:c>
    </x:row>
    <x:row r="18" ht="26" customHeight="1">
      <x:c r="A18" s="7" t="str">
        <x:v>Categoria</x:v>
      </x:c>
      <x:c r="B18" s="7" t="str">
        <x:v>Percentual</x:v>
      </x:c>
      <x:c r="C18" s="7" t="str">
        <x:v>Aporte mensal (R$)</x:v>
      </x:c>
      <x:c r="D18" s="7" t="str">
        <x:v>Perfil selecionado</x:v>
      </x:c>
    </x:row>
    <x:row r="19">
      <x:c r="A19" t="str">
        <x:v>Papel</x:v>
      </x:c>
      <x:c r="B19" s="20" t="n">
        <x:f>VLOOKUP($B$9,Perfis!$A$5:$E$7,2,FALSE)</x:f>
        <x:v>0.3</x:v>
      </x:c>
      <x:c r="C19" s="22" t="n">
        <x:f>$B$5*B19</x:f>
        <x:v>150</x:v>
      </x:c>
      <x:c r="D19" t="str">
        <x:f>$B$9</x:f>
        <x:v>Moderado</x:v>
      </x:c>
    </x:row>
    <x:row r="20">
      <x:c r="A20" t="str">
        <x:v>Tijolo</x:v>
      </x:c>
      <x:c r="B20" s="20" t="n">
        <x:f>VLOOKUP($B$9,Perfis!$A$5:$E$7,3,FALSE)</x:f>
        <x:v>0.35</x:v>
      </x:c>
      <x:c r="C20" s="22" t="n">
        <x:f>$B$5*B20</x:f>
        <x:v>175</x:v>
      </x:c>
      <x:c r="D20" t="str">
        <x:f>$B$9</x:f>
        <x:v>Moderado</x:v>
      </x:c>
    </x:row>
    <x:row r="21">
      <x:c r="A21" t="str">
        <x:v>Híbridos</x:v>
      </x:c>
      <x:c r="B21" s="20" t="n">
        <x:f>VLOOKUP($B$9,Perfis!$A$5:$E$7,4,FALSE)</x:f>
        <x:v>0.25</x:v>
      </x:c>
      <x:c r="C21" s="22" t="n">
        <x:f>$B$5*B21</x:f>
        <x:v>125</x:v>
      </x:c>
      <x:c r="D21" t="str">
        <x:f>$B$9</x:f>
        <x:v>Moderado</x:v>
      </x:c>
    </x:row>
    <x:row r="22">
      <x:c r="A22" t="str">
        <x:v>FOFs</x:v>
      </x:c>
      <x:c r="B22" s="20" t="n">
        <x:f>VLOOKUP($B$9,Perfis!$A$5:$E$7,5,FALSE)</x:f>
        <x:v>0.1</x:v>
      </x:c>
      <x:c r="C22" s="22" t="n">
        <x:f>$B$5*B22</x:f>
        <x:v>50</x:v>
      </x:c>
      <x:c r="D22" t="str">
        <x:f>$B$9</x:f>
        <x:v>Moderado</x:v>
      </x:c>
    </x:row>
    <x:row r="23">
      <x:c r="A23" t="str">
        <x:v>Total distribuído</x:v>
      </x:c>
      <x:c r="B23" s="20" t="n">
        <x:f>SUM(B19:B22)</x:f>
        <x:v>0.9999999999999999</x:v>
      </x:c>
      <x:c r="C23" s="22" t="n">
        <x:f>SUM(C19:C22)</x:f>
        <x:v>500</x:v>
      </x:c>
    </x:row>
  </x:sheetData>
  <x:mergeCells>
    <x:mergeCell ref="A1:F1"/>
  </x:mergeCells>
  <x:dataValidations count="1">
    <x:dataValidation type="list" sqref="B9">
      <x:formula1>"Conservador,Moderado,Arrojado"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35" customHeight="1">
      <x:c r="A1" s="3" t="str">
        <x:v>TABELA DE APOIO | PERFIS DE INVESTIDOR</x:v>
      </x:c>
      <x:c r="B1" s="3"/>
      <x:c r="C1" s="3"/>
      <x:c r="D1" s="3"/>
      <x:c r="E1" s="3"/>
    </x:row>
    <x:row r="4" ht="26" customHeight="1">
      <x:c r="A4" s="7" t="str">
        <x:v>Perfil</x:v>
      </x:c>
      <x:c r="B4" s="7" t="str">
        <x:v>Papel</x:v>
      </x:c>
      <x:c r="C4" s="7" t="str">
        <x:v>Tijolo</x:v>
      </x:c>
      <x:c r="D4" s="7" t="str">
        <x:v>Híbridos</x:v>
      </x:c>
      <x:c r="E4" s="7" t="str">
        <x:v>FOFs</x:v>
      </x:c>
    </x:row>
    <x:row r="5">
      <x:c r="A5" t="str">
        <x:v>Conservador</x:v>
      </x:c>
      <x:c r="B5" s="20" t="n">
        <x:v>0.45</x:v>
      </x:c>
      <x:c r="C5" s="20" t="n">
        <x:v>0.25</x:v>
      </x:c>
      <x:c r="D5" s="20" t="n">
        <x:v>0.2</x:v>
      </x:c>
      <x:c r="E5" s="20" t="n">
        <x:v>0.1</x:v>
      </x:c>
    </x:row>
    <x:row r="6">
      <x:c r="A6" t="str">
        <x:v>Moderado</x:v>
      </x:c>
      <x:c r="B6" s="20" t="n">
        <x:v>0.3</x:v>
      </x:c>
      <x:c r="C6" s="20" t="n">
        <x:v>0.35</x:v>
      </x:c>
      <x:c r="D6" s="20" t="n">
        <x:v>0.25</x:v>
      </x:c>
      <x:c r="E6" s="20" t="n">
        <x:v>0.1</x:v>
      </x:c>
    </x:row>
    <x:row r="7">
      <x:c r="A7" t="str">
        <x:v>Arrojado</x:v>
      </x:c>
      <x:c r="B7" s="20" t="n">
        <x:v>0.2</x:v>
      </x:c>
      <x:c r="C7" s="20" t="n">
        <x:v>0.45</x:v>
      </x:c>
      <x:c r="D7" s="20" t="n">
        <x:v>0.25</x:v>
      </x:c>
      <x:c r="E7" s="20" t="n">
        <x:v>0.1</x:v>
      </x:c>
    </x:row>
    <x:row r="10">
      <x:c r="A10" t="str">
        <x:v>Distribuição ilustrativa: não representa recomendação de investimento.</x:v>
      </x:c>
    </x:row>
  </x:sheetData>
  <x:mergeCells>
    <x:mergeCell ref="A1:E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1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35" customHeight="1">
      <x:c r="A1" s="3" t="str">
        <x:v>CENÁRIOS DE LONGO PRAZO</x:v>
      </x:c>
      <x:c r="B1" s="3"/>
      <x:c r="C1" s="3"/>
      <x:c r="D1" s="3"/>
      <x:c r="E1" s="3"/>
    </x:row>
    <x:row r="4" ht="26" customHeight="1">
      <x:c r="A4" s="7" t="str">
        <x:v>Anos</x:v>
      </x:c>
      <x:c r="B4" s="7" t="str">
        <x:v>Aportes totais (R$)</x:v>
      </x:c>
      <x:c r="C4" s="7" t="str">
        <x:v>Patrimônio (R$)</x:v>
      </x:c>
      <x:c r="D4" s="7" t="str">
        <x:v>Rendimento (R$)</x:v>
      </x:c>
      <x:c r="E4" s="7" t="str">
        <x:v>Dividendos/mês (R$)</x:v>
      </x:c>
    </x:row>
    <x:row r="5">
      <x:c r="A5" t="n">
        <x:v>2</x:v>
      </x:c>
      <x:c r="B5" s="18" t="n">
        <x:f>Simulador!$B$4+Simulador!$B$5*A5*12</x:f>
        <x:v>13000</x:v>
      </x:c>
      <x:c r="C5" s="18" t="n">
        <x:f>FV(Simulador!$B$6,A5*12,-Simulador!$B$5,-Simulador!$B$4,0)</x:f>
        <x:v>14382.322796448738</x:v>
      </x:c>
      <x:c r="D5" s="18" t="n">
        <x:f>C5-B5</x:f>
        <x:v>1382.3227964487378</x:v>
      </x:c>
      <x:c r="E5" s="18" t="n">
        <x:f>C5*Simulador!$B$7</x:f>
        <x:v>86.29393677869243</x:v>
      </x:c>
    </x:row>
    <x:row r="6">
      <x:c r="A6" t="n">
        <x:v>3</x:v>
      </x:c>
      <x:c r="B6" s="18" t="n">
        <x:f>Simulador!$B$4+Simulador!$B$5*A6*12</x:f>
        <x:v>19000</x:v>
      </x:c>
      <x:c r="C6" s="18" t="n">
        <x:f>FV(Simulador!$B$6,A6*12,-Simulador!$B$5,-Simulador!$B$4,0)</x:f>
        <x:v>22096.594635707548</x:v>
      </x:c>
      <x:c r="D6" s="18" t="n">
        <x:f>C6-B6</x:f>
        <x:v>3096.594635707548</x:v>
      </x:c>
      <x:c r="E6" s="18" t="n">
        <x:f>C6*Simulador!$B$7</x:f>
        <x:v>132.57956781424528</x:v>
      </x:c>
    </x:row>
    <x:row r="7">
      <x:c r="A7" t="n">
        <x:v>4</x:v>
      </x:c>
      <x:c r="B7" s="18" t="n">
        <x:f>Simulador!$B$4+Simulador!$B$5*A7*12</x:f>
        <x:v>25000</x:v>
      </x:c>
      <x:c r="C7" s="18" t="n">
        <x:f>FV(Simulador!$B$6,A7*12,-Simulador!$B$5,-Simulador!$B$4,0)</x:f>
        <x:v>30584.906434288852</x:v>
      </x:c>
      <x:c r="D7" s="18" t="n">
        <x:f>C7-B7</x:f>
        <x:v>5584.906434288852</x:v>
      </x:c>
      <x:c r="E7" s="18" t="n">
        <x:f>C7*Simulador!$B$7</x:f>
        <x:v>183.50943860573312</x:v>
      </x:c>
    </x:row>
    <x:row r="8">
      <x:c r="A8" t="n">
        <x:v>5</x:v>
      </x:c>
      <x:c r="B8" s="18" t="n">
        <x:f>Simulador!$B$4+Simulador!$B$5*A8*12</x:f>
        <x:v>31000</x:v>
      </x:c>
      <x:c r="C8" s="18" t="n">
        <x:f>FV(Simulador!$B$6,A8*12,-Simulador!$B$5,-Simulador!$B$4,0)</x:f>
        <x:v>39924.92435059515</x:v>
      </x:c>
      <x:c r="D8" s="18" t="n">
        <x:f>C8-B8</x:f>
        <x:v>8924.924350595153</x:v>
      </x:c>
      <x:c r="E8" s="18" t="n">
        <x:f>C8*Simulador!$B$7</x:f>
        <x:v>239.54954610357092</x:v>
      </x:c>
    </x:row>
    <x:row r="9">
      <x:c r="A9" t="n">
        <x:v>6</x:v>
      </x:c>
      <x:c r="B9" s="18" t="n">
        <x:f>Simulador!$B$4+Simulador!$B$5*A9*12</x:f>
        <x:v>37000</x:v>
      </x:c>
      <x:c r="C9" s="18" t="n">
        <x:f>FV(Simulador!$B$6,A9*12,-Simulador!$B$5,-Simulador!$B$4,0)</x:f>
        <x:v>50202.10746390903</x:v>
      </x:c>
      <x:c r="D9" s="18" t="n">
        <x:f>C9-B9</x:f>
        <x:v>13202.10746390903</x:v>
      </x:c>
      <x:c r="E9" s="18" t="n">
        <x:f>C9*Simulador!$B$7</x:f>
        <x:v>301.2126447834542</x:v>
      </x:c>
    </x:row>
    <x:row r="10">
      <x:c r="A10" t="n">
        <x:v>7</x:v>
      </x:c>
      <x:c r="B10" s="18" t="n">
        <x:f>Simulador!$B$4+Simulador!$B$5*A10*12</x:f>
        <x:v>43000</x:v>
      </x:c>
      <x:c r="C10" s="18" t="n">
        <x:f>FV(Simulador!$B$6,A10*12,-Simulador!$B$5,-Simulador!$B$4,0)</x:f>
        <x:v>61510.48970589446</x:v>
      </x:c>
      <x:c r="D10" s="18" t="n">
        <x:f>C10-B10</x:f>
        <x:v>18510.489705894463</x:v>
      </x:c>
      <x:c r="E10" s="18" t="n">
        <x:f>C10*Simulador!$B$7</x:f>
        <x:v>369.0629382353668</x:v>
      </x:c>
    </x:row>
    <x:row r="11">
      <x:c r="A11" t="n">
        <x:v>8</x:v>
      </x:c>
      <x:c r="B11" s="18" t="n">
        <x:f>Simulador!$B$4+Simulador!$B$5*A11*12</x:f>
        <x:v>49000</x:v>
      </x:c>
      <x:c r="C11" s="18" t="n">
        <x:f>FV(Simulador!$B$6,A11*12,-Simulador!$B$5,-Simulador!$B$4,0)</x:f>
        <x:v>73953.5402500836</x:v>
      </x:c>
      <x:c r="D11" s="18" t="n">
        <x:f>C11-B11</x:f>
        <x:v>24953.540250083606</x:v>
      </x:c>
      <x:c r="E11" s="18" t="n">
        <x:f>C11*Simulador!$B$7</x:f>
        <x:v>443.72124150050166</x:v>
      </x:c>
    </x:row>
    <x:row r="12">
      <x:c r="A12" t="n">
        <x:v>9</x:v>
      </x:c>
      <x:c r="B12" s="18" t="n">
        <x:f>Simulador!$B$4+Simulador!$B$5*A12*12</x:f>
        <x:v>55000</x:v>
      </x:c>
      <x:c r="C12" s="18" t="n">
        <x:f>FV(Simulador!$B$6,A12*12,-Simulador!$B$5,-Simulador!$B$4,0)</x:f>
        <x:v>87645.11023172068</x:v>
      </x:c>
      <x:c r="D12" s="18" t="n">
        <x:f>C12-B12</x:f>
        <x:v>32645.110231720682</x:v>
      </x:c>
      <x:c r="E12" s="18" t="n">
        <x:f>C12*Simulador!$B$7</x:f>
        <x:v>525.8706613903241</x:v>
      </x:c>
    </x:row>
    <x:row r="13">
      <x:c r="A13" t="n">
        <x:v>10</x:v>
      </x:c>
      <x:c r="B13" s="18" t="n">
        <x:f>Simulador!$B$4+Simulador!$B$5*A13*12</x:f>
        <x:v>61000</x:v>
      </x:c>
      <x:c r="C13" s="18" t="n">
        <x:f>FV(Simulador!$B$6,A13*12,-Simulador!$B$5,-Simulador!$B$4,0)</x:f>
        <x:v>102710.4744602384</x:v>
      </x:c>
      <x:c r="D13" s="18" t="n">
        <x:f>C13-B13</x:f>
        <x:v>41710.4744602384</x:v>
      </x:c>
      <x:c r="E13" s="18" t="n">
        <x:f>C13*Simulador!$B$7</x:f>
        <x:v>616.2628467614304</x:v>
      </x:c>
    </x:row>
    <x:row r="14">
      <x:c r="A14" t="n">
        <x:v>11</x:v>
      </x:c>
      <x:c r="B14" s="18" t="n">
        <x:f>Simulador!$B$4+Simulador!$B$5*A14*12</x:f>
        <x:v>67000</x:v>
      </x:c>
      <x:c r="C14" s="18" t="n">
        <x:f>FV(Simulador!$B$6,A14*12,-Simulador!$B$5,-Simulador!$B$4,0)</x:f>
        <x:v>119287.47765580358</x:v>
      </x:c>
      <x:c r="D14" s="18" t="n">
        <x:f>C14-B14</x:f>
        <x:v>52287.47765580358</x:v>
      </x:c>
      <x:c r="E14" s="18" t="n">
        <x:f>C14*Simulador!$B$7</x:f>
        <x:v>715.7248659348215</x:v>
      </x:c>
    </x:row>
    <x:row r="15">
      <x:c r="A15" t="n">
        <x:v>12</x:v>
      </x:c>
      <x:c r="B15" s="18" t="n">
        <x:f>Simulador!$B$4+Simulador!$B$5*A15*12</x:f>
        <x:v>73000</x:v>
      </x:c>
      <x:c r="C15" s="18" t="n">
        <x:f>FV(Simulador!$B$6,A15*12,-Simulador!$B$5,-Simulador!$B$4,0)</x:f>
        <x:v>137527.7956977401</x:v>
      </x:c>
      <x:c r="D15" s="18" t="n">
        <x:f>C15-B15</x:f>
        <x:v>64527.795697740105</x:v>
      </x:c>
      <x:c r="E15" s="18" t="n">
        <x:f>C15*Simulador!$B$7</x:f>
        <x:v>825.1667741864406</x:v>
      </x:c>
    </x:row>
    <x:row r="16">
      <x:c r="A16" t="n">
        <x:v>13</x:v>
      </x:c>
      <x:c r="B16" s="18" t="n">
        <x:f>Simulador!$B$4+Simulador!$B$5*A16*12</x:f>
        <x:v>79000</x:v>
      </x:c>
      <x:c r="C16" s="18" t="n">
        <x:f>FV(Simulador!$B$6,A16*12,-Simulador!$B$5,-Simulador!$B$4,0)</x:f>
        <x:v>157598.32342497172</x:v>
      </x:c>
      <x:c r="D16" s="18" t="n">
        <x:f>C16-B16</x:f>
        <x:v>78598.32342497172</x:v>
      </x:c>
      <x:c r="E16" s="18" t="n">
        <x:f>C16*Simulador!$B$7</x:f>
        <x:v>945.5899405498303</x:v>
      </x:c>
    </x:row>
    <x:row r="17">
      <x:c r="A17" t="n">
        <x:v>14</x:v>
      </x:c>
      <x:c r="B17" s="18" t="n">
        <x:f>Simulador!$B$4+Simulador!$B$5*A17*12</x:f>
        <x:v>85000</x:v>
      </x:c>
      <x:c r="C17" s="18" t="n">
        <x:f>FV(Simulador!$B$6,A17*12,-Simulador!$B$5,-Simulador!$B$4,0)</x:f>
        <x:v>179682.70168654737</x:v>
      </x:c>
      <x:c r="D17" s="18" t="n">
        <x:f>C17-B17</x:f>
        <x:v>94682.70168654737</x:v>
      </x:c>
      <x:c r="E17" s="18" t="n">
        <x:f>C17*Simulador!$B$7</x:f>
        <x:v>1078.0962101192843</x:v>
      </x:c>
    </x:row>
    <x:row r="18">
      <x:c r="A18" t="n">
        <x:v>15</x:v>
      </x:c>
      <x:c r="B18" s="18" t="n">
        <x:f>Simulador!$B$4+Simulador!$B$5*A18*12</x:f>
        <x:v>91000</x:v>
      </x:c>
      <x:c r="C18" s="18" t="n">
        <x:f>FV(Simulador!$B$6,A18*12,-Simulador!$B$5,-Simulador!$B$4,0)</x:f>
        <x:v>203982.99761442278</x:v>
      </x:c>
      <x:c r="D18" s="18" t="n">
        <x:f>C18-B18</x:f>
        <x:v>112982.99761442278</x:v>
      </x:c>
      <x:c r="E18" s="18" t="n">
        <x:f>C18*Simulador!$B$7</x:f>
        <x:v>1223.8979856865367</x:v>
      </x:c>
    </x:row>
    <x:row r="19">
      <x:c r="A19" t="n">
        <x:v>16</x:v>
      </x:c>
      <x:c r="B19" s="18" t="n">
        <x:f>Simulador!$B$4+Simulador!$B$5*A19*12</x:f>
        <x:v>97000</x:v>
      </x:c>
      <x:c r="C19" s="18" t="n">
        <x:f>FV(Simulador!$B$6,A19*12,-Simulador!$B$5,-Simulador!$B$4,0)</x:f>
        <x:v>230721.55349261712</x:v>
      </x:c>
      <x:c r="D19" s="18" t="n">
        <x:f>C19-B19</x:f>
        <x:v>133721.55349261712</x:v>
      </x:c>
      <x:c r="E19" s="18" t="n">
        <x:f>C19*Simulador!$B$7</x:f>
        <x:v>1384.3293209557028</x:v>
      </x:c>
    </x:row>
    <x:row r="20">
      <x:c r="A20" t="n">
        <x:v>17</x:v>
      </x:c>
      <x:c r="B20" s="18" t="n">
        <x:f>Simulador!$B$4+Simulador!$B$5*A20*12</x:f>
        <x:v>103000</x:v>
      </x:c>
      <x:c r="C20" s="18" t="n">
        <x:f>FV(Simulador!$B$6,A20*12,-Simulador!$B$5,-Simulador!$B$4,0)</x:f>
        <x:v>260143.0211394857</x:v>
      </x:c>
      <x:c r="D20" s="18" t="n">
        <x:f>C20-B20</x:f>
        <x:v>157143.0211394857</x:v>
      </x:c>
      <x:c r="E20" s="18" t="n">
        <x:f>C20*Simulador!$B$7</x:f>
        <x:v>1560.8581268369142</x:v>
      </x:c>
    </x:row>
    <x:row r="21">
      <x:c r="A21" t="n">
        <x:v>18</x:v>
      </x:c>
      <x:c r="B21" s="18" t="n">
        <x:f>Simulador!$B$4+Simulador!$B$5*A21*12</x:f>
        <x:v>109000</x:v>
      </x:c>
      <x:c r="C21" s="18" t="n">
        <x:f>FV(Simulador!$B$6,A21*12,-Simulador!$B$5,-Simulador!$B$4,0)</x:f>
        <x:v>292516.60041725275</x:v>
      </x:c>
      <x:c r="D21" s="18" t="n">
        <x:f>C21-B21</x:f>
        <x:v>183516.60041725275</x:v>
      </x:c>
      <x:c r="E21" s="18" t="n">
        <x:f>C21*Simulador!$B$7</x:f>
        <x:v>1755.0996025035165</x:v>
      </x:c>
    </x:row>
    <x:row r="22">
      <x:c r="A22" t="n">
        <x:v>19</x:v>
      </x:c>
      <x:c r="B22" s="18" t="n">
        <x:f>Simulador!$B$4+Simulador!$B$5*A22*12</x:f>
        <x:v>115000</x:v>
      </x:c>
      <x:c r="C22" s="18" t="n">
        <x:f>FV(Simulador!$B$6,A22*12,-Simulador!$B$5,-Simulador!$B$4,0)</x:f>
        <x:v>328138.50235066714</x:v>
      </x:c>
      <x:c r="D22" s="18" t="n">
        <x:f>C22-B22</x:f>
        <x:v>213138.50235066714</x:v>
      </x:c>
      <x:c r="E22" s="18" t="n">
        <x:f>C22*Simulador!$B$7</x:f>
        <x:v>1968.8310141040029</x:v>
      </x:c>
    </x:row>
    <x:row r="23">
      <x:c r="A23" t="n">
        <x:v>20</x:v>
      </x:c>
      <x:c r="B23" s="18" t="n">
        <x:f>Simulador!$B$4+Simulador!$B$5*A23*12</x:f>
        <x:v>121000</x:v>
      </x:c>
      <x:c r="C23" s="18" t="n">
        <x:f>FV(Simulador!$B$6,A23*12,-Simulador!$B$5,-Simulador!$B$4,0)</x:f>
        <x:v>367334.6593917652</x:v>
      </x:c>
      <x:c r="D23" s="18" t="n">
        <x:f>C23-B23</x:f>
        <x:v>246334.6593917652</x:v>
      </x:c>
      <x:c r="E23" s="18" t="n">
        <x:f>C23*Simulador!$B$7</x:f>
        <x:v>2204.007956350591</x:v>
      </x:c>
    </x:row>
    <x:row r="24">
      <x:c r="A24" t="n">
        <x:v>21</x:v>
      </x:c>
      <x:c r="B24" s="18" t="n">
        <x:f>Simulador!$B$4+Simulador!$B$5*A24*12</x:f>
        <x:v>127000</x:v>
      </x:c>
      <x:c r="C24" s="18" t="n">
        <x:f>FV(Simulador!$B$6,A24*12,-Simulador!$B$5,-Simulador!$B$4,0)</x:f>
        <x:v>410463.7076290598</x:v>
      </x:c>
      <x:c r="D24" s="18" t="n">
        <x:f>C24-B24</x:f>
        <x:v>283463.7076290598</x:v>
      </x:c>
      <x:c r="E24" s="18" t="n">
        <x:f>C24*Simulador!$B$7</x:f>
        <x:v>2462.7822457743587</x:v>
      </x:c>
    </x:row>
    <x:row r="25">
      <x:c r="A25" t="n">
        <x:v>22</x:v>
      </x:c>
      <x:c r="B25" s="18" t="n">
        <x:f>Simulador!$B$4+Simulador!$B$5*A25*12</x:f>
        <x:v>133000</x:v>
      </x:c>
      <x:c r="C25" s="18" t="n">
        <x:f>FV(Simulador!$B$6,A25*12,-Simulador!$B$5,-Simulador!$B$4,0)</x:f>
        <x:v>457920.26822770527</x:v>
      </x:c>
      <x:c r="D25" s="18" t="n">
        <x:f>C25-B25</x:f>
        <x:v>324920.26822770527</x:v>
      </x:c>
      <x:c r="E25" s="18" t="n">
        <x:f>C25*Simulador!$B$7</x:f>
        <x:v>2747.5216093662316</x:v>
      </x:c>
    </x:row>
    <x:row r="26">
      <x:c r="A26" t="n">
        <x:v>23</x:v>
      </x:c>
      <x:c r="B26" s="18" t="n">
        <x:f>Simulador!$B$4+Simulador!$B$5*A26*12</x:f>
        <x:v>139000</x:v>
      </x:c>
      <x:c r="C26" s="18" t="n">
        <x:f>FV(Simulador!$B$6,A26*12,-Simulador!$B$5,-Simulador!$B$4,0)</x:f>
        <x:v>510138.55812507996</x:v>
      </x:c>
      <x:c r="D26" s="18" t="n">
        <x:f>C26-B26</x:f>
        <x:v>371138.55812507996</x:v>
      </x:c>
      <x:c r="E26" s="18" t="n">
        <x:f>C26*Simulador!$B$7</x:f>
        <x:v>3060.8313487504797</x:v>
      </x:c>
    </x:row>
    <x:row r="27">
      <x:c r="A27" t="n">
        <x:v>24</x:v>
      </x:c>
      <x:c r="B27" s="18" t="n">
        <x:f>Simulador!$B$4+Simulador!$B$5*A27*12</x:f>
        <x:v>145000</x:v>
      </x:c>
      <x:c r="C27" s="18" t="n">
        <x:f>FV(Simulador!$B$6,A27*12,-Simulador!$B$5,-Simulador!$B$4,0)</x:f>
        <x:v>567596.3630188484</x:v>
      </x:c>
      <x:c r="D27" s="18" t="n">
        <x:f>C27-B27</x:f>
        <x:v>422596.36301884835</x:v>
      </x:c>
      <x:c r="E27" s="18" t="n">
        <x:f>C27*Simulador!$B$7</x:f>
        <x:v>3405.57817811309</x:v>
      </x:c>
    </x:row>
    <x:row r="28">
      <x:c r="A28" t="n">
        <x:v>25</x:v>
      </x:c>
      <x:c r="B28" s="18" t="n">
        <x:f>Simulador!$B$4+Simulador!$B$5*A28*12</x:f>
        <x:v>151000</x:v>
      </x:c>
      <x:c r="C28" s="18" t="n">
        <x:f>FV(Simulador!$B$6,A28*12,-Simulador!$B$5,-Simulador!$B$4,0)</x:f>
        <x:v>630819.4089994548</x:v>
      </x:c>
      <x:c r="D28" s="18" t="n">
        <x:f>C28-B28</x:f>
        <x:v>479819.4089994548</x:v>
      </x:c>
      <x:c r="E28" s="18" t="n">
        <x:f>C28*Simulador!$B$7</x:f>
        <x:v>3784.916453996729</x:v>
      </x:c>
    </x:row>
    <x:row r="29">
      <x:c r="A29" t="n">
        <x:v>26</x:v>
      </x:c>
      <x:c r="B29" s="18" t="n">
        <x:f>Simulador!$B$4+Simulador!$B$5*A29*12</x:f>
        <x:v>157000</x:v>
      </x:c>
      <x:c r="C29" s="18" t="n">
        <x:f>FV(Simulador!$B$6,A29*12,-Simulador!$B$5,-Simulador!$B$4,0)</x:f>
        <x:v>700386.172826511</x:v>
      </x:c>
      <x:c r="D29" s="18" t="n">
        <x:f>C29-B29</x:f>
        <x:v>543386.172826511</x:v>
      </x:c>
      <x:c r="E29" s="18" t="n">
        <x:f>C29*Simulador!$B$7</x:f>
        <x:v>4202.317036959066</x:v>
      </x:c>
    </x:row>
    <x:row r="30">
      <x:c r="A30" t="n">
        <x:v>27</x:v>
      </x:c>
      <x:c r="B30" s="18" t="n">
        <x:f>Simulador!$B$4+Simulador!$B$5*A30*12</x:f>
        <x:v>163000</x:v>
      </x:c>
      <x:c r="C30" s="18" t="n">
        <x:f>FV(Simulador!$B$6,A30*12,-Simulador!$B$5,-Simulador!$B$4,0)</x:f>
        <x:v>776933.1748620339</x:v>
      </x:c>
      <x:c r="D30" s="18" t="n">
        <x:f>C30-B30</x:f>
        <x:v>613933.1748620339</x:v>
      </x:c>
      <x:c r="E30" s="18" t="n">
        <x:f>C30*Simulador!$B$7</x:f>
        <x:v>4661.599049172203</x:v>
      </x:c>
    </x:row>
    <x:row r="31">
      <x:c r="A31" t="n">
        <x:v>28</x:v>
      </x:c>
      <x:c r="B31" s="18" t="n">
        <x:f>Simulador!$B$4+Simulador!$B$5*A31*12</x:f>
        <x:v>169000</x:v>
      </x:c>
      <x:c r="C31" s="18" t="n">
        <x:f>FV(Simulador!$B$6,A31*12,-Simulador!$B$5,-Simulador!$B$4,0)</x:f>
        <x:v>861160.8030896881</x:v>
      </x:c>
      <x:c r="D31" s="18" t="n">
        <x:f>C31-B31</x:f>
        <x:v>692160.8030896881</x:v>
      </x:c>
      <x:c r="E31" s="18" t="n">
        <x:f>C31*Simulador!$B$7</x:f>
        <x:v>5166.964818538128</x:v>
      </x:c>
    </x:row>
    <x:row r="32">
      <x:c r="A32" t="n">
        <x:v>29</x:v>
      </x:c>
      <x:c r="B32" s="18" t="n">
        <x:f>Simulador!$B$4+Simulador!$B$5*A32*12</x:f>
        <x:v>175000</x:v>
      </x:c>
      <x:c r="C32" s="18" t="n">
        <x:f>FV(Simulador!$B$6,A32*12,-Simulador!$B$5,-Simulador!$B$4,0)</x:f>
        <x:v>953839.721508515</x:v>
      </x:c>
      <x:c r="D32" s="18" t="n">
        <x:f>C32-B32</x:f>
        <x:v>778839.721508515</x:v>
      </x:c>
      <x:c r="E32" s="18" t="n">
        <x:f>C32*Simulador!$B$7</x:f>
        <x:v>5723.03832905109</x:v>
      </x:c>
    </x:row>
    <x:row r="33">
      <x:c r="A33" t="n">
        <x:v>30</x:v>
      </x:c>
      <x:c r="B33" s="18" t="n">
        <x:f>Simulador!$B$4+Simulador!$B$5*A33*12</x:f>
        <x:v>181000</x:v>
      </x:c>
      <x:c r="C33" s="18" t="n">
        <x:f>FV(Simulador!$B$6,A33*12,-Simulador!$B$5,-Simulador!$B$4,0)</x:f>
        <x:v>1055817.9215365115</x:v>
      </x:c>
      <x:c r="D33" s="18" t="n">
        <x:f>C33-B33</x:f>
        <x:v>874817.9215365115</x:v>
      </x:c>
      <x:c r="E33" s="18" t="n">
        <x:f>C33*Simulador!$B$7</x:f>
        <x:v>6334.907529219069</x:v>
      </x:c>
    </x:row>
  </x:sheetData>
  <x:mergeCells>
    <x:mergeCell ref="A1:E1"/>
  </x:mergeCells>
  <x:pageMargins left="0.7" right="0.7" top="0.75" bottom="0.75" header="0.3" footer="0.3"/>
  <x:drawing xmlns:r="http://schemas.openxmlformats.org/officeDocument/2006/relationships" r:id="R521f4b7fc56b4826"/>
</x:worksheet>
</file>

<file path=xl/worksheets/sheet4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86" hidden="0" customWidth="1"/>
    <x:col min="3" max="3" width="21" hidden="0" customWidth="1"/>
    <x:col min="4" max="4" width="21" hidden="0" customWidth="1"/>
    <x:col min="5" max="5" width="21" hidden="0" customWidth="1"/>
    <x:col min="6" max="6" width="21" hidden="0" customWidth="1"/>
  </x:cols>
  <x:sheetData>
    <x:row r="1" ht="35" customHeight="1">
      <x:c r="A1" s="3" t="str">
        <x:v>GUIA | METODOLOGIA E FÓRMULAS</x:v>
      </x:c>
      <x:c r="B1" s="3"/>
      <x:c r="C1" s="3"/>
      <x:c r="D1" s="3"/>
      <x:c r="E1" s="3"/>
      <x:c r="F1" s="3"/>
    </x:row>
    <x:row r="4" ht="26" customHeight="1">
      <x:c r="A4" s="7" t="str">
        <x:v>ETAPA</x:v>
      </x:c>
      <x:c r="B4" s="7" t="str">
        <x:v>EXPLICAÇÃO</x:v>
      </x:c>
    </x:row>
    <x:row r="5" ht="32" customHeight="1">
      <x:c r="A5" t="str">
        <x:v>1. Configurações</x:v>
      </x:c>
      <x:c r="B5" s="24" t="str">
        <x:v>Edite as células destacadas na aba Simulador. Taxas são mensais.</x:v>
      </x:c>
    </x:row>
    <x:row r="6" ht="32" customHeight="1">
      <x:c r="A6" t="str">
        <x:v>2. Valor futuro</x:v>
      </x:c>
      <x:c r="B6" s="24" t="str">
        <x:v>VF(taxa; períodos; pagamento; valor_presente; tipo). Aporte no fim de cada mês.</x:v>
      </x:c>
    </x:row>
    <x:row r="7" ht="32" customHeight="1">
      <x:c r="A7" t="str">
        <x:v>3. Projeções</x:v>
      </x:c>
      <x:c r="B7" s="24" t="str">
        <x:v>A aba Cenarios aplica VF para cada prazo de 2 a 30 anos.</x:v>
      </x:c>
    </x:row>
    <x:row r="8" ht="32" customHeight="1">
      <x:c r="A8" t="str">
        <x:v>4. Perfis</x:v>
      </x:c>
      <x:c r="B8" s="24" t="str">
        <x:v>PROCV consulta a tabela de apoio Perfis para distribuir o aporte.</x:v>
      </x:c>
    </x:row>
    <x:row r="9" ht="32" customHeight="1">
      <x:c r="A9" t="str">
        <x:v>5. Entrega</x:v>
      </x:c>
      <x:c r="B9" s="24" t="str">
        <x:v>Publique a planilha, capturas de tela e um README no GitHub.</x:v>
      </x:c>
    </x:row>
    <x:row r="10" ht="32" customHeight="1">
      <x:c r="A10" t="str">
        <x:v>Observação</x:v>
      </x:c>
      <x:c r="B10" s="24" t="str">
        <x:v>Excel em português mostra VF/PROCV; o arquivo XLSX usa FV/VLOOKUP internamente.</x:v>
      </x:c>
    </x:row>
    <x:row r="11" ht="32" customHeight="1">
      <x:c r="A11" t="str">
        <x:v>Premissas</x:v>
      </x:c>
      <x:c r="B11" s="24" t="str">
        <x:v>Rentabilidade constante, sem impostos, custos, inflação ou volatilidade.</x:v>
      </x:c>
    </x:row>
    <x:row r="12" ht="32" customHeight="1">
      <x:c r="A12" t="str">
        <x:v>Dividendos</x:v>
      </x:c>
      <x:c r="B12" s="24" t="str">
        <x:v>Dividendos estimados = patrimônio projetado × taxa mensal informada.</x:v>
      </x:c>
    </x:row>
    <x:row r="13" ht="32" customHeight="1">
      <x:c r="A13" t="str">
        <x:v>Cuidado</x:v>
      </x:c>
      <x:c r="B13" s="24" t="str">
        <x:v>A taxa de dividendos é informativa; não some dividendos ao patrimônio novamente.</x:v>
      </x:c>
    </x:row>
    <x:row r="14" ht="32" customHeight="1">
      <x:c r="A14" t="str">
        <x:v>Aviso</x:v>
      </x:c>
      <x:c r="B14" s="24" t="str">
        <x:v>Ferramenta educacional. Resultados não são garantidos nem constituem recomendação.</x:v>
      </x:c>
    </x:row>
  </x:sheetData>
  <x:mergeCells>
    <x:mergeCell ref="A1:F1"/>
  </x:mergeCells>
  <x:pageMargins left="0.7" right="0.7" top="0.75" bottom="0.75" header="0.3" footer="0.3"/>
</x:worksheet>
</file>